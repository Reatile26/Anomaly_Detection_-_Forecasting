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ekoei\Downloads\"/>
    </mc:Choice>
  </mc:AlternateContent>
  <xr:revisionPtr revIDLastSave="0" documentId="13_ncr:1_{46EB6322-E526-48B0-8340-BA106CAAED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26 Forecast" sheetId="1" r:id="rId1"/>
    <sheet name="Model Comparison" sheetId="2" r:id="rId2"/>
    <sheet name="Historical CP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3" l="1"/>
  <c r="F66" i="3" s="1"/>
  <c r="E65" i="3"/>
  <c r="F65" i="3" s="1"/>
  <c r="E64" i="3"/>
  <c r="F64" i="3" s="1"/>
  <c r="F63" i="3"/>
  <c r="E63" i="3"/>
  <c r="E62" i="3"/>
  <c r="F62" i="3" s="1"/>
  <c r="E61" i="3"/>
  <c r="F61" i="3" s="1"/>
  <c r="E60" i="3"/>
  <c r="F60" i="3" s="1"/>
  <c r="F59" i="3"/>
  <c r="E59" i="3"/>
  <c r="E58" i="3"/>
  <c r="F58" i="3" s="1"/>
  <c r="E57" i="3"/>
  <c r="F57" i="3" s="1"/>
  <c r="E56" i="3"/>
  <c r="F56" i="3" s="1"/>
  <c r="F55" i="3"/>
  <c r="E55" i="3"/>
  <c r="E54" i="3"/>
  <c r="F54" i="3" s="1"/>
  <c r="E53" i="3"/>
  <c r="F53" i="3" s="1"/>
  <c r="E52" i="3"/>
  <c r="F52" i="3" s="1"/>
  <c r="F51" i="3"/>
  <c r="E51" i="3"/>
  <c r="E50" i="3"/>
  <c r="F50" i="3" s="1"/>
  <c r="E49" i="3"/>
  <c r="F49" i="3" s="1"/>
  <c r="E48" i="3"/>
  <c r="F48" i="3" s="1"/>
  <c r="F47" i="3"/>
  <c r="E47" i="3"/>
  <c r="E46" i="3"/>
  <c r="F46" i="3" s="1"/>
  <c r="E45" i="3"/>
  <c r="F45" i="3" s="1"/>
  <c r="E44" i="3"/>
  <c r="F44" i="3" s="1"/>
  <c r="F43" i="3"/>
  <c r="E43" i="3"/>
  <c r="E42" i="3"/>
  <c r="F42" i="3" s="1"/>
  <c r="E41" i="3"/>
  <c r="F41" i="3" s="1"/>
  <c r="E40" i="3"/>
  <c r="F40" i="3" s="1"/>
  <c r="F39" i="3"/>
  <c r="E39" i="3"/>
  <c r="E38" i="3"/>
  <c r="F38" i="3" s="1"/>
  <c r="E37" i="3"/>
  <c r="F37" i="3" s="1"/>
  <c r="E36" i="3"/>
  <c r="F36" i="3" s="1"/>
  <c r="F35" i="3"/>
  <c r="E35" i="3"/>
  <c r="E34" i="3"/>
  <c r="F34" i="3" s="1"/>
  <c r="E33" i="3"/>
  <c r="F33" i="3" s="1"/>
  <c r="E32" i="3"/>
  <c r="F32" i="3" s="1"/>
  <c r="F31" i="3"/>
  <c r="E31" i="3"/>
  <c r="E30" i="3"/>
  <c r="F30" i="3" s="1"/>
  <c r="E29" i="3"/>
  <c r="F29" i="3" s="1"/>
  <c r="E28" i="3"/>
  <c r="F28" i="3" s="1"/>
  <c r="F27" i="3"/>
  <c r="E27" i="3"/>
  <c r="E26" i="3"/>
  <c r="F26" i="3" s="1"/>
  <c r="E25" i="3"/>
  <c r="F25" i="3" s="1"/>
  <c r="E24" i="3"/>
  <c r="F24" i="3" s="1"/>
  <c r="F23" i="3"/>
  <c r="E23" i="3"/>
  <c r="E22" i="3"/>
  <c r="F22" i="3" s="1"/>
  <c r="E21" i="3"/>
  <c r="F21" i="3" s="1"/>
  <c r="E20" i="3"/>
  <c r="F20" i="3" s="1"/>
  <c r="F19" i="3"/>
  <c r="E19" i="3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E21" i="1"/>
  <c r="E20" i="1"/>
</calcChain>
</file>

<file path=xl/sharedStrings.xml><?xml version="1.0" encoding="utf-8"?>
<sst xmlns="http://schemas.openxmlformats.org/spreadsheetml/2006/main" count="63" uniqueCount="41">
  <si>
    <t>South African inflation forecast: 2026</t>
  </si>
  <si>
    <t>Selected model: SARIMA. Headline year-on-year CPI inflation (%).</t>
  </si>
  <si>
    <t>Refit: January 2021–December 2025. Bounds: conditional 95% pointwise prediction intervals.</t>
  </si>
  <si>
    <t>Month</t>
  </si>
  <si>
    <t>Point forecast (%)</t>
  </si>
  <si>
    <t>Lower 95% (%)</t>
  </si>
  <si>
    <t>Upper 95% (%)</t>
  </si>
  <si>
    <t>Mean of monthly year-on-year rates (%)</t>
  </si>
  <si>
    <t>December 2026 forecast (%)</t>
  </si>
  <si>
    <t>Mean monthly year-on-year inflation differs from annual-average CPI inflation.</t>
  </si>
  <si>
    <t>The statistical residual check found serial dependence; intervals are conditional approximations.</t>
  </si>
  <si>
    <t>The selected SARIMA narrowly won 2024 selection. Random Forest performed better in the 2025 check.</t>
  </si>
  <si>
    <t>Forecast (%)</t>
  </si>
  <si>
    <t>Historical forecast comparisons</t>
  </si>
  <si>
    <t>MAE and RMSE are percentage points. All models within each table share forecast origins and dates.</t>
  </si>
  <si>
    <t>2024 model selection: December 2023 origin, 12 months ahead</t>
  </si>
  <si>
    <t>Model</t>
  </si>
  <si>
    <t>MAE (pp)</t>
  </si>
  <si>
    <t>RMSE (pp)</t>
  </si>
  <si>
    <t>sMAPE (%)</t>
  </si>
  <si>
    <t>MASE</t>
  </si>
  <si>
    <t>Forecasts</t>
  </si>
  <si>
    <t>SARIMA</t>
  </si>
  <si>
    <t>Last-value naive</t>
  </si>
  <si>
    <t>Seasonal naive</t>
  </si>
  <si>
    <t>Random Forest</t>
  </si>
  <si>
    <t>2025 locked check: December 2024 origin, 12 months ahead</t>
  </si>
  <si>
    <t>2025 supplementary monthly expanding window: one month ahead</t>
  </si>
  <si>
    <t>Selection rule: lowest 2024 year-ahead RMSE; MAE breaks exact ties. Winner frozen before 2025.</t>
  </si>
  <si>
    <t>MASE denominator: mean one-step naive error in the training window at each origin.</t>
  </si>
  <si>
    <t>Small sample: one origin and 12 monthly errors in each year-ahead comparison.</t>
  </si>
  <si>
    <t>Historical CPI and inflation: 2021–2025</t>
  </si>
  <si>
    <t>Source: Stats SA (2026), CPI December 2025, P0141, Tables B1–B2, printed page 4. Released 21 January 2026.</t>
  </si>
  <si>
    <t>https://www.statssa.gov.za/publications/P0141/P0141December2025.pdf</t>
  </si>
  <si>
    <t>CPI index (Dec 2024 = 100)</t>
  </si>
  <si>
    <t>Official YoY inflation (%)</t>
  </si>
  <si>
    <t>YoY from rounded index (%)</t>
  </si>
  <si>
    <t>Rounding difference (pp)</t>
  </si>
  <si>
    <t>Blank derived rates in 2021: 2020 CPI is not in the supplied table.</t>
  </si>
  <si>
    <t>The model uses the official B2 inflation rates consistently.</t>
  </si>
  <si>
    <t>Annual Average from B1 is not treated as an extra monthly observation.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</si>
</sst>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0.000"/>
    <numFmt numFmtId="166" formatCode="0.0"/>
  </numFmts>
  <fonts count="7" x14ac:knownFonts="1">
    <font>
      <sz val="11"/>
      <name val="Carlito"/>
    </font>
    <font>
      <sz val="10"/>
      <color rgb="FF1F2937"/>
      <name val="Arial"/>
    </font>
    <font>
      <b/>
      <sz val="14"/>
      <color rgb="FF1E4262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sz val="10"/>
      <color rgb="FF4B5563"/>
      <name val="Arial"/>
    </font>
  </fonts>
  <fills count="3">
    <fill>
      <patternFill patternType="none"/>
    </fill>
    <fill>
      <patternFill patternType="gray125"/>
    </fill>
    <fill>
      <patternFill patternType="solid">
        <fgColor rgb="FF1E42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2" fontId="1" fillId="0" borderId="0" xfId="0" applyNumberFormat="1" applyFont="1" applyAlignment="1">
      <alignment horizontal="right"/>
    </xf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165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 sz="1050">
                <a:latin typeface="Arial"/>
                <a:ea typeface="Arial"/>
                <a:cs typeface="Arial"/>
              </a:rPr>
              <a:t>2026 monthly inflation forecast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Forecast (%)</c:v>
          </c:tx>
          <c:spPr>
            <a:ln w="19050">
              <a:solidFill>
                <a:srgbClr val="A55625"/>
              </a:solidFill>
              <a:prstDash val="solid"/>
            </a:ln>
          </c:spPr>
          <c:marker>
            <c:symbol val="none"/>
          </c:marker>
          <c:cat>
            <c:strRef>
              <c:f>'2026 Forecast'!$H$24:$H$35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'2026 Forecast'!$I$24:$I$35</c:f>
              <c:numCache>
                <c:formatCode>General</c:formatCode>
                <c:ptCount val="12"/>
                <c:pt idx="0">
                  <c:v>3.4897183779000001</c:v>
                </c:pt>
                <c:pt idx="1">
                  <c:v>3.3651234162999999</c:v>
                </c:pt>
                <c:pt idx="2">
                  <c:v>3.7309554806</c:v>
                </c:pt>
                <c:pt idx="3">
                  <c:v>3.7047525684</c:v>
                </c:pt>
                <c:pt idx="4">
                  <c:v>3.6925374356999998</c:v>
                </c:pt>
                <c:pt idx="5">
                  <c:v>3.7187349522000002</c:v>
                </c:pt>
                <c:pt idx="6">
                  <c:v>3.7349740996</c:v>
                </c:pt>
                <c:pt idx="7">
                  <c:v>3.9262038971000002</c:v>
                </c:pt>
                <c:pt idx="8">
                  <c:v>3.9631983525000001</c:v>
                </c:pt>
                <c:pt idx="9">
                  <c:v>4.0992393649999999</c:v>
                </c:pt>
                <c:pt idx="10">
                  <c:v>4.2174139298000002</c:v>
                </c:pt>
                <c:pt idx="11">
                  <c:v>4.2158237534999996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8-4B2D-94C5-B9C3D0A66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262"/>
  </sheetPr>
  <dimension ref="A1:P80"/>
  <sheetViews>
    <sheetView showGridLines="0" tabSelected="1" zoomScale="55" zoomScaleNormal="55" workbookViewId="0">
      <selection activeCell="U19" sqref="U19"/>
    </sheetView>
  </sheetViews>
  <sheetFormatPr defaultRowHeight="13.8" x14ac:dyDescent="0.25"/>
  <cols>
    <col min="1" max="1" width="3" customWidth="1"/>
    <col min="2" max="2" width="17" customWidth="1"/>
    <col min="3" max="5" width="20" customWidth="1"/>
    <col min="9" max="9" width="11.19921875" bestFit="1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7.399999999999999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4.049999999999997" customHeight="1" x14ac:dyDescent="0.25">
      <c r="A6" s="1"/>
      <c r="B6" s="4" t="s">
        <v>3</v>
      </c>
      <c r="C6" s="4" t="s">
        <v>4</v>
      </c>
      <c r="D6" s="4" t="s">
        <v>5</v>
      </c>
      <c r="E6" s="4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2.95" customHeight="1" x14ac:dyDescent="0.25">
      <c r="A7" s="1"/>
      <c r="B7" s="5">
        <v>46023</v>
      </c>
      <c r="C7" s="6">
        <v>3.4897183779000001</v>
      </c>
      <c r="D7" s="6">
        <v>2.8533384211000001</v>
      </c>
      <c r="E7" s="6">
        <v>4.1260983347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2.95" customHeight="1" x14ac:dyDescent="0.25">
      <c r="A8" s="1"/>
      <c r="B8" s="5">
        <v>46054</v>
      </c>
      <c r="C8" s="6">
        <v>3.3651234162999999</v>
      </c>
      <c r="D8" s="6">
        <v>2.2545422794999999</v>
      </c>
      <c r="E8" s="6">
        <v>4.4757045530999999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2.95" customHeight="1" x14ac:dyDescent="0.25">
      <c r="A9" s="1"/>
      <c r="B9" s="5">
        <v>46082</v>
      </c>
      <c r="C9" s="6">
        <v>3.7309554806</v>
      </c>
      <c r="D9" s="6">
        <v>2.2169260022000001</v>
      </c>
      <c r="E9" s="6">
        <v>5.2449849591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2.95" customHeight="1" x14ac:dyDescent="0.25">
      <c r="A10" s="1"/>
      <c r="B10" s="5">
        <v>46113</v>
      </c>
      <c r="C10" s="6">
        <v>3.7047525684</v>
      </c>
      <c r="D10" s="6">
        <v>1.8447518034999999</v>
      </c>
      <c r="E10" s="6">
        <v>5.5647533333999997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2.95" customHeight="1" x14ac:dyDescent="0.25">
      <c r="A11" s="1"/>
      <c r="B11" s="5">
        <v>46143</v>
      </c>
      <c r="C11" s="6">
        <v>3.6925374356999998</v>
      </c>
      <c r="D11" s="6">
        <v>1.5302581298</v>
      </c>
      <c r="E11" s="6">
        <v>5.8548167414999996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2.95" customHeight="1" x14ac:dyDescent="0.25">
      <c r="A12" s="1"/>
      <c r="B12" s="5">
        <v>46174</v>
      </c>
      <c r="C12" s="6">
        <v>3.7187349522000002</v>
      </c>
      <c r="D12" s="6">
        <v>1.2871518424999999</v>
      </c>
      <c r="E12" s="6">
        <v>6.1503180620000002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2.95" customHeight="1" x14ac:dyDescent="0.25">
      <c r="A13" s="1"/>
      <c r="B13" s="5">
        <v>46204</v>
      </c>
      <c r="C13" s="6">
        <v>3.7349740996</v>
      </c>
      <c r="D13" s="6">
        <v>1.0593427279000001</v>
      </c>
      <c r="E13" s="6">
        <v>6.4106054714000003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2.95" customHeight="1" x14ac:dyDescent="0.25">
      <c r="A14" s="1"/>
      <c r="B14" s="5">
        <v>46235</v>
      </c>
      <c r="C14" s="6">
        <v>3.9262038971000002</v>
      </c>
      <c r="D14" s="6">
        <v>1.0263053652</v>
      </c>
      <c r="E14" s="6">
        <v>6.8261024289999996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2.95" customHeight="1" x14ac:dyDescent="0.25">
      <c r="A15" s="1"/>
      <c r="B15" s="5">
        <v>46266</v>
      </c>
      <c r="C15" s="6">
        <v>3.9631983525000001</v>
      </c>
      <c r="D15" s="6">
        <v>0.85490043650000003</v>
      </c>
      <c r="E15" s="6">
        <v>7.0714962685999998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2.95" customHeight="1" x14ac:dyDescent="0.25">
      <c r="A16" s="1"/>
      <c r="B16" s="5">
        <v>46296</v>
      </c>
      <c r="C16" s="6">
        <v>4.0992393649999999</v>
      </c>
      <c r="D16" s="6">
        <v>0.79556436289999999</v>
      </c>
      <c r="E16" s="6">
        <v>7.4029143670000002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2.95" customHeight="1" x14ac:dyDescent="0.25">
      <c r="A17" s="1"/>
      <c r="B17" s="5">
        <v>46327</v>
      </c>
      <c r="C17" s="6">
        <v>4.2174139298000002</v>
      </c>
      <c r="D17" s="6">
        <v>0.72927729159999999</v>
      </c>
      <c r="E17" s="6">
        <v>7.7055505679999996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2.95" customHeight="1" x14ac:dyDescent="0.25">
      <c r="A18" s="1"/>
      <c r="B18" s="5">
        <v>46357</v>
      </c>
      <c r="C18" s="6">
        <v>4.2158237534999996</v>
      </c>
      <c r="D18" s="6">
        <v>0.55256614780000002</v>
      </c>
      <c r="E18" s="6">
        <v>7.8790813592999998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7" t="s">
        <v>7</v>
      </c>
      <c r="C20" s="7"/>
      <c r="D20" s="7"/>
      <c r="E20" s="8">
        <f>AVERAGE(C7:C18)</f>
        <v>3.8215563023833337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7" t="s">
        <v>8</v>
      </c>
      <c r="C21" s="7"/>
      <c r="D21" s="7"/>
      <c r="E21" s="8">
        <f>C18</f>
        <v>4.2158237534999996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9" t="s">
        <v>9</v>
      </c>
      <c r="C23" s="1"/>
      <c r="D23" s="1"/>
      <c r="E23" s="1"/>
      <c r="F23" s="1"/>
      <c r="G23" s="1"/>
      <c r="H23" s="13" t="s">
        <v>3</v>
      </c>
      <c r="I23" s="13" t="s">
        <v>12</v>
      </c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9" t="s">
        <v>10</v>
      </c>
      <c r="C24" s="1"/>
      <c r="D24" s="1"/>
      <c r="E24" s="1"/>
      <c r="F24" s="1"/>
      <c r="G24" s="1"/>
      <c r="H24" s="13" t="str">
        <f>TEXT(B7,"mmm")</f>
        <v>Jan</v>
      </c>
      <c r="I24" s="13">
        <f>C7</f>
        <v>3.4897183779000001</v>
      </c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9" t="s">
        <v>11</v>
      </c>
      <c r="C25" s="1"/>
      <c r="D25" s="1"/>
      <c r="E25" s="1"/>
      <c r="F25" s="1"/>
      <c r="G25" s="1"/>
      <c r="H25" s="13" t="str">
        <f>TEXT(B8,"mmm")</f>
        <v>Feb</v>
      </c>
      <c r="I25" s="13">
        <f>C8</f>
        <v>3.3651234162999999</v>
      </c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3" t="str">
        <f>TEXT(B9,"mmm")</f>
        <v>Mar</v>
      </c>
      <c r="I26" s="13">
        <f>C9</f>
        <v>3.7309554806</v>
      </c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3" t="str">
        <f>TEXT(B10,"mmm")</f>
        <v>Apr</v>
      </c>
      <c r="I27" s="13">
        <f>C10</f>
        <v>3.7047525684</v>
      </c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3" t="str">
        <f>TEXT(B11,"mmm")</f>
        <v>May</v>
      </c>
      <c r="I28" s="13">
        <f>C11</f>
        <v>3.6925374356999998</v>
      </c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3" t="str">
        <f>TEXT(B12,"mmm")</f>
        <v>Jun</v>
      </c>
      <c r="I29" s="13">
        <f>C12</f>
        <v>3.7187349522000002</v>
      </c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3" t="str">
        <f>TEXT(B13,"mmm")</f>
        <v>Jul</v>
      </c>
      <c r="I30" s="13">
        <f>C13</f>
        <v>3.7349740996</v>
      </c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3" t="str">
        <f>TEXT(B14,"mmm")</f>
        <v>Aug</v>
      </c>
      <c r="I31" s="13">
        <f>C14</f>
        <v>3.9262038971000002</v>
      </c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3" t="str">
        <f>TEXT(B15,"mmm")</f>
        <v>Sept</v>
      </c>
      <c r="I32" s="13">
        <f>C15</f>
        <v>3.9631983525000001</v>
      </c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3" t="str">
        <f>TEXT(B16,"mmm")</f>
        <v>Oct</v>
      </c>
      <c r="I33" s="13">
        <f>C16</f>
        <v>4.0992393649999999</v>
      </c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3" t="str">
        <f>TEXT(B17,"mmm")</f>
        <v>Nov</v>
      </c>
      <c r="I34" s="13">
        <f>C17</f>
        <v>4.2174139298000002</v>
      </c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3" t="str">
        <f>TEXT(B18,"mmm")</f>
        <v>Dec</v>
      </c>
      <c r="I35" s="13">
        <f>C18</f>
        <v>4.2158237534999996</v>
      </c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0"/>
  <sheetViews>
    <sheetView showGridLines="0" topLeftCell="A5" zoomScale="70" zoomScaleNormal="70" workbookViewId="0">
      <selection activeCell="C18" sqref="C18"/>
    </sheetView>
  </sheetViews>
  <sheetFormatPr defaultRowHeight="13.8" x14ac:dyDescent="0.25"/>
  <cols>
    <col min="1" max="1" width="3" customWidth="1"/>
    <col min="2" max="2" width="23" customWidth="1"/>
    <col min="3" max="7" width="16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7.399999999999999" x14ac:dyDescent="0.3">
      <c r="A2" s="1"/>
      <c r="B2" s="2" t="s">
        <v>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 t="s">
        <v>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7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4.049999999999997" customHeight="1" x14ac:dyDescent="0.25">
      <c r="A6" s="1"/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1"/>
      <c r="I6" s="1"/>
      <c r="J6" s="1"/>
      <c r="K6" s="1"/>
      <c r="L6" s="1"/>
      <c r="M6" s="1"/>
      <c r="N6" s="1"/>
      <c r="O6" s="1"/>
      <c r="P6" s="1"/>
    </row>
    <row r="7" spans="1:16" ht="22.95" customHeight="1" x14ac:dyDescent="0.25">
      <c r="A7" s="1"/>
      <c r="B7" s="1" t="s">
        <v>22</v>
      </c>
      <c r="C7" s="10">
        <v>0.94349858863228508</v>
      </c>
      <c r="D7" s="10">
        <v>1.190497376475554</v>
      </c>
      <c r="E7" s="10">
        <v>21.904715540343858</v>
      </c>
      <c r="F7" s="10">
        <v>2.6417960481703977</v>
      </c>
      <c r="G7" s="11">
        <v>12</v>
      </c>
      <c r="H7" s="1"/>
      <c r="I7" s="1"/>
      <c r="J7" s="1"/>
      <c r="K7" s="1"/>
      <c r="L7" s="1"/>
      <c r="M7" s="1"/>
      <c r="N7" s="1"/>
      <c r="O7" s="1"/>
      <c r="P7" s="1"/>
    </row>
    <row r="8" spans="1:16" ht="22.95" customHeight="1" x14ac:dyDescent="0.25">
      <c r="A8" s="1"/>
      <c r="B8" s="1" t="s">
        <v>23</v>
      </c>
      <c r="C8" s="10">
        <v>0.85</v>
      </c>
      <c r="D8" s="10">
        <v>1.2013880860626731</v>
      </c>
      <c r="E8" s="10">
        <v>20.021741732118823</v>
      </c>
      <c r="F8" s="10">
        <v>2.38</v>
      </c>
      <c r="G8" s="11">
        <v>12</v>
      </c>
      <c r="H8" s="1"/>
      <c r="I8" s="1"/>
      <c r="J8" s="1"/>
      <c r="K8" s="1"/>
      <c r="L8" s="1"/>
      <c r="M8" s="1"/>
      <c r="N8" s="1"/>
      <c r="O8" s="1"/>
      <c r="P8" s="1"/>
    </row>
    <row r="9" spans="1:16" ht="22.95" customHeight="1" x14ac:dyDescent="0.25">
      <c r="A9" s="1"/>
      <c r="B9" s="1" t="s">
        <v>24</v>
      </c>
      <c r="C9" s="10">
        <v>1.4750000000000003</v>
      </c>
      <c r="D9" s="10">
        <v>1.7109938632268673</v>
      </c>
      <c r="E9" s="10">
        <v>29.970429643641694</v>
      </c>
      <c r="F9" s="10">
        <v>4.13</v>
      </c>
      <c r="G9" s="11">
        <v>12</v>
      </c>
      <c r="H9" s="1"/>
      <c r="I9" s="1"/>
      <c r="J9" s="1"/>
      <c r="K9" s="1"/>
      <c r="L9" s="1"/>
      <c r="M9" s="1"/>
      <c r="N9" s="1"/>
      <c r="O9" s="1"/>
      <c r="P9" s="1"/>
    </row>
    <row r="10" spans="1:16" ht="22.95" customHeight="1" x14ac:dyDescent="0.25">
      <c r="A10" s="1"/>
      <c r="B10" s="1" t="s">
        <v>25</v>
      </c>
      <c r="C10" s="10">
        <v>1.3354473710317449</v>
      </c>
      <c r="D10" s="10">
        <v>1.7220739388946689</v>
      </c>
      <c r="E10" s="10">
        <v>28.434140675182004</v>
      </c>
      <c r="F10" s="10">
        <v>3.7392526388888854</v>
      </c>
      <c r="G10" s="11">
        <v>12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7" t="s">
        <v>26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34.049999999999997" customHeight="1" x14ac:dyDescent="0.25">
      <c r="A15" s="1"/>
      <c r="B15" s="4" t="s">
        <v>16</v>
      </c>
      <c r="C15" s="4" t="s">
        <v>17</v>
      </c>
      <c r="D15" s="4" t="s">
        <v>18</v>
      </c>
      <c r="E15" s="4" t="s">
        <v>19</v>
      </c>
      <c r="F15" s="4" t="s">
        <v>20</v>
      </c>
      <c r="G15" s="4" t="s">
        <v>21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 ht="22.95" customHeight="1" x14ac:dyDescent="0.25">
      <c r="A16" s="1"/>
      <c r="B16" s="1" t="s">
        <v>25</v>
      </c>
      <c r="C16" s="10">
        <v>0.25525962301587307</v>
      </c>
      <c r="D16" s="10">
        <v>0.32085173764665226</v>
      </c>
      <c r="E16" s="10">
        <v>8.0333969877487679</v>
      </c>
      <c r="F16" s="10">
        <v>0.74982514260912703</v>
      </c>
      <c r="G16" s="11">
        <v>12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 ht="22.95" customHeight="1" x14ac:dyDescent="0.25">
      <c r="A17" s="1"/>
      <c r="B17" s="1" t="s">
        <v>23</v>
      </c>
      <c r="C17" s="10">
        <v>0.33333333333333331</v>
      </c>
      <c r="D17" s="10">
        <v>0.37859388972001823</v>
      </c>
      <c r="E17" s="10">
        <v>10.53161014173982</v>
      </c>
      <c r="F17" s="10">
        <v>0.97916666666666685</v>
      </c>
      <c r="G17" s="11">
        <v>12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 ht="22.95" customHeight="1" x14ac:dyDescent="0.25">
      <c r="A18" s="1"/>
      <c r="B18" s="1" t="s">
        <v>22</v>
      </c>
      <c r="C18" s="10">
        <v>0.32231321277146435</v>
      </c>
      <c r="D18" s="10">
        <v>0.4160435291202485</v>
      </c>
      <c r="E18" s="10">
        <v>9.0819250861647784</v>
      </c>
      <c r="F18" s="10">
        <v>0.94679506251617662</v>
      </c>
      <c r="G18" s="11">
        <v>12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ht="22.95" customHeight="1" x14ac:dyDescent="0.25">
      <c r="A19" s="1"/>
      <c r="B19" s="1" t="s">
        <v>24</v>
      </c>
      <c r="C19" s="10">
        <v>1.55</v>
      </c>
      <c r="D19" s="10">
        <v>1.751190071541826</v>
      </c>
      <c r="E19" s="10">
        <v>39.131993566225589</v>
      </c>
      <c r="F19" s="10">
        <v>4.5531250000000005</v>
      </c>
      <c r="G19" s="11">
        <v>12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7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34.049999999999997" customHeight="1" x14ac:dyDescent="0.25">
      <c r="A24" s="1"/>
      <c r="B24" s="4" t="s">
        <v>16</v>
      </c>
      <c r="C24" s="4" t="s">
        <v>17</v>
      </c>
      <c r="D24" s="4" t="s">
        <v>18</v>
      </c>
      <c r="E24" s="4" t="s">
        <v>19</v>
      </c>
      <c r="F24" s="4" t="s">
        <v>20</v>
      </c>
      <c r="G24" s="4" t="s">
        <v>21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ht="22.95" customHeight="1" x14ac:dyDescent="0.25">
      <c r="A25" s="1"/>
      <c r="B25" s="1" t="s">
        <v>23</v>
      </c>
      <c r="C25" s="10">
        <v>0.18333333333333338</v>
      </c>
      <c r="D25" s="10">
        <v>0.24152294576982403</v>
      </c>
      <c r="E25" s="10">
        <v>5.7944843574954099</v>
      </c>
      <c r="F25" s="10">
        <v>0.56427645702160223</v>
      </c>
      <c r="G25" s="11">
        <v>12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ht="22.95" customHeight="1" x14ac:dyDescent="0.25">
      <c r="A26" s="1"/>
      <c r="B26" s="1" t="s">
        <v>22</v>
      </c>
      <c r="C26" s="10">
        <v>0.17860421602263696</v>
      </c>
      <c r="D26" s="10">
        <v>0.25259608687494484</v>
      </c>
      <c r="E26" s="10">
        <v>5.6920877819428846</v>
      </c>
      <c r="F26" s="10">
        <v>0.5438398846813266</v>
      </c>
      <c r="G26" s="11">
        <v>12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ht="22.95" customHeight="1" x14ac:dyDescent="0.25">
      <c r="A27" s="1"/>
      <c r="B27" s="1" t="s">
        <v>25</v>
      </c>
      <c r="C27" s="10">
        <v>0.1940822420634927</v>
      </c>
      <c r="D27" s="10">
        <v>0.25526802208570715</v>
      </c>
      <c r="E27" s="10">
        <v>6.1595415495749029</v>
      </c>
      <c r="F27" s="10">
        <v>0.59512321741305918</v>
      </c>
      <c r="G27" s="11">
        <v>12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22.95" customHeight="1" x14ac:dyDescent="0.25">
      <c r="A28" s="1"/>
      <c r="B28" s="1" t="s">
        <v>24</v>
      </c>
      <c r="C28" s="10">
        <v>1.55</v>
      </c>
      <c r="D28" s="10">
        <v>1.751190071541826</v>
      </c>
      <c r="E28" s="10">
        <v>39.131993566225589</v>
      </c>
      <c r="F28" s="10">
        <v>4.7101285723824526</v>
      </c>
      <c r="G28" s="11">
        <v>12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 t="s">
        <v>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 t="s">
        <v>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 t="s">
        <v>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0"/>
  <sheetViews>
    <sheetView showGridLines="0" zoomScale="70" zoomScaleNormal="70" workbookViewId="0">
      <pane ySplit="6" topLeftCell="A56" activePane="bottomLeft" state="frozen"/>
      <selection pane="bottomLeft" activeCell="D62" sqref="D62"/>
    </sheetView>
  </sheetViews>
  <sheetFormatPr defaultRowHeight="13.8" x14ac:dyDescent="0.25"/>
  <cols>
    <col min="1" max="1" width="3" customWidth="1"/>
    <col min="2" max="2" width="17" customWidth="1"/>
    <col min="3" max="6" width="26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7.399999999999999" x14ac:dyDescent="0.3">
      <c r="A2" s="1"/>
      <c r="B2" s="2" t="s">
        <v>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 t="s">
        <v>32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 t="s">
        <v>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4.049999999999997" customHeight="1" x14ac:dyDescent="0.25">
      <c r="A6" s="1"/>
      <c r="B6" s="4" t="s">
        <v>3</v>
      </c>
      <c r="C6" s="4" t="s">
        <v>34</v>
      </c>
      <c r="D6" s="4" t="s">
        <v>35</v>
      </c>
      <c r="E6" s="4" t="s">
        <v>36</v>
      </c>
      <c r="F6" s="4" t="s">
        <v>37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1" customHeight="1" x14ac:dyDescent="0.25">
      <c r="A7" s="1"/>
      <c r="B7" s="5">
        <v>44197</v>
      </c>
      <c r="C7" s="12">
        <v>81.7</v>
      </c>
      <c r="D7" s="12">
        <v>3.2</v>
      </c>
      <c r="E7" s="10"/>
      <c r="F7" s="10"/>
      <c r="G7" s="1"/>
      <c r="H7" s="1" t="s">
        <v>38</v>
      </c>
      <c r="I7" s="1"/>
      <c r="J7" s="1"/>
      <c r="K7" s="1"/>
      <c r="L7" s="1"/>
      <c r="M7" s="1"/>
      <c r="N7" s="1"/>
      <c r="O7" s="1"/>
      <c r="P7" s="1"/>
    </row>
    <row r="8" spans="1:16" ht="21" customHeight="1" x14ac:dyDescent="0.25">
      <c r="A8" s="1"/>
      <c r="B8" s="5">
        <v>44228</v>
      </c>
      <c r="C8" s="12">
        <v>82.2</v>
      </c>
      <c r="D8" s="12">
        <v>2.9</v>
      </c>
      <c r="E8" s="10"/>
      <c r="F8" s="10"/>
      <c r="G8" s="1"/>
      <c r="H8" s="1" t="s">
        <v>39</v>
      </c>
      <c r="I8" s="1"/>
      <c r="J8" s="1"/>
      <c r="K8" s="1"/>
      <c r="L8" s="1"/>
      <c r="M8" s="1"/>
      <c r="N8" s="1"/>
      <c r="O8" s="1"/>
      <c r="P8" s="1"/>
    </row>
    <row r="9" spans="1:16" ht="21" customHeight="1" x14ac:dyDescent="0.25">
      <c r="A9" s="1"/>
      <c r="B9" s="5">
        <v>44256</v>
      </c>
      <c r="C9" s="12">
        <v>82.8</v>
      </c>
      <c r="D9" s="12">
        <v>3.2</v>
      </c>
      <c r="E9" s="10"/>
      <c r="F9" s="10"/>
      <c r="G9" s="1"/>
      <c r="H9" s="1" t="s">
        <v>40</v>
      </c>
      <c r="I9" s="1"/>
      <c r="J9" s="1"/>
      <c r="K9" s="1"/>
      <c r="L9" s="1"/>
      <c r="M9" s="1"/>
      <c r="N9" s="1"/>
      <c r="O9" s="1"/>
      <c r="P9" s="1"/>
    </row>
    <row r="10" spans="1:16" ht="21" customHeight="1" x14ac:dyDescent="0.25">
      <c r="A10" s="1"/>
      <c r="B10" s="5">
        <v>44287</v>
      </c>
      <c r="C10" s="12">
        <v>83.3</v>
      </c>
      <c r="D10" s="12">
        <v>4.4000000000000004</v>
      </c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1" customHeight="1" x14ac:dyDescent="0.25">
      <c r="A11" s="1"/>
      <c r="B11" s="5">
        <v>44317</v>
      </c>
      <c r="C11" s="12">
        <v>83.4</v>
      </c>
      <c r="D11" s="12">
        <v>5.2</v>
      </c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1" customHeight="1" x14ac:dyDescent="0.25">
      <c r="A12" s="1"/>
      <c r="B12" s="5">
        <v>44348</v>
      </c>
      <c r="C12" s="12">
        <v>83.5</v>
      </c>
      <c r="D12" s="12">
        <v>4.9000000000000004</v>
      </c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1" customHeight="1" x14ac:dyDescent="0.25">
      <c r="A13" s="1"/>
      <c r="B13" s="5">
        <v>44378</v>
      </c>
      <c r="C13" s="12">
        <v>84.5</v>
      </c>
      <c r="D13" s="12">
        <v>4.5999999999999996</v>
      </c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1" customHeight="1" x14ac:dyDescent="0.25">
      <c r="A14" s="1"/>
      <c r="B14" s="5">
        <v>44409</v>
      </c>
      <c r="C14" s="12">
        <v>84.8</v>
      </c>
      <c r="D14" s="12">
        <v>4.9000000000000004</v>
      </c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1" customHeight="1" x14ac:dyDescent="0.25">
      <c r="A15" s="1"/>
      <c r="B15" s="5">
        <v>44440</v>
      </c>
      <c r="C15" s="12">
        <v>85</v>
      </c>
      <c r="D15" s="12">
        <v>5</v>
      </c>
      <c r="E15" s="10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1" customHeight="1" x14ac:dyDescent="0.25">
      <c r="A16" s="1"/>
      <c r="B16" s="5">
        <v>44470</v>
      </c>
      <c r="C16" s="12">
        <v>85.3</v>
      </c>
      <c r="D16" s="12">
        <v>5</v>
      </c>
      <c r="E16" s="10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" customHeight="1" x14ac:dyDescent="0.25">
      <c r="A17" s="1"/>
      <c r="B17" s="5">
        <v>44501</v>
      </c>
      <c r="C17" s="12">
        <v>85.6</v>
      </c>
      <c r="D17" s="12">
        <v>5.5</v>
      </c>
      <c r="E17" s="10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1" customHeight="1" x14ac:dyDescent="0.25">
      <c r="A18" s="1"/>
      <c r="B18" s="5">
        <v>44531</v>
      </c>
      <c r="C18" s="12">
        <v>86.1</v>
      </c>
      <c r="D18" s="12">
        <v>5.9</v>
      </c>
      <c r="E18" s="10"/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1" customHeight="1" x14ac:dyDescent="0.25">
      <c r="A19" s="1"/>
      <c r="B19" s="5">
        <v>44562</v>
      </c>
      <c r="C19" s="12">
        <v>86.3</v>
      </c>
      <c r="D19" s="12">
        <v>5.7</v>
      </c>
      <c r="E19" s="10">
        <f t="shared" ref="E19:E66" si="0">100*(C19/C7-1)</f>
        <v>5.6303549571603329</v>
      </c>
      <c r="F19" s="10">
        <f t="shared" ref="F19:F66" si="1">E19-D19</f>
        <v>-6.9645042839667326E-2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1" customHeight="1" x14ac:dyDescent="0.25">
      <c r="A20" s="1"/>
      <c r="B20" s="5">
        <v>44593</v>
      </c>
      <c r="C20" s="12">
        <v>86.8</v>
      </c>
      <c r="D20" s="12">
        <v>5.7</v>
      </c>
      <c r="E20" s="10">
        <f t="shared" si="0"/>
        <v>5.5961070559610526</v>
      </c>
      <c r="F20" s="10">
        <f t="shared" si="1"/>
        <v>-0.10389294403894755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1" customHeight="1" x14ac:dyDescent="0.25">
      <c r="A21" s="1"/>
      <c r="B21" s="5">
        <v>44621</v>
      </c>
      <c r="C21" s="12">
        <v>87.7</v>
      </c>
      <c r="D21" s="12">
        <v>5.9</v>
      </c>
      <c r="E21" s="10">
        <f t="shared" si="0"/>
        <v>5.9178743961352698</v>
      </c>
      <c r="F21" s="10">
        <f t="shared" si="1"/>
        <v>1.7874396135269421E-2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1" customHeight="1" x14ac:dyDescent="0.25">
      <c r="A22" s="1"/>
      <c r="B22" s="5">
        <v>44652</v>
      </c>
      <c r="C22" s="12">
        <v>88.2</v>
      </c>
      <c r="D22" s="12">
        <v>5.9</v>
      </c>
      <c r="E22" s="10">
        <f t="shared" si="0"/>
        <v>5.8823529411764719</v>
      </c>
      <c r="F22" s="10">
        <f t="shared" si="1"/>
        <v>-1.7647058823528461E-2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1" customHeight="1" x14ac:dyDescent="0.25">
      <c r="A23" s="1"/>
      <c r="B23" s="5">
        <v>44682</v>
      </c>
      <c r="C23" s="12">
        <v>88.8</v>
      </c>
      <c r="D23" s="12">
        <v>6.5</v>
      </c>
      <c r="E23" s="10">
        <f t="shared" si="0"/>
        <v>6.474820143884874</v>
      </c>
      <c r="F23" s="10">
        <f t="shared" si="1"/>
        <v>-2.5179856115125965E-2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1" customHeight="1" x14ac:dyDescent="0.25">
      <c r="A24" s="1"/>
      <c r="B24" s="5">
        <v>44713</v>
      </c>
      <c r="C24" s="12">
        <v>89.8</v>
      </c>
      <c r="D24" s="12">
        <v>7.4</v>
      </c>
      <c r="E24" s="10">
        <f t="shared" si="0"/>
        <v>7.5449101796407181</v>
      </c>
      <c r="F24" s="10">
        <f t="shared" si="1"/>
        <v>0.14491017964071773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1" customHeight="1" x14ac:dyDescent="0.25">
      <c r="A25" s="1"/>
      <c r="B25" s="5">
        <v>44743</v>
      </c>
      <c r="C25" s="12">
        <v>91.1</v>
      </c>
      <c r="D25" s="12">
        <v>7.8</v>
      </c>
      <c r="E25" s="10">
        <f t="shared" si="0"/>
        <v>7.8106508875739555</v>
      </c>
      <c r="F25" s="10">
        <f t="shared" si="1"/>
        <v>1.0650887573955714E-2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1" customHeight="1" x14ac:dyDescent="0.25">
      <c r="A26" s="1"/>
      <c r="B26" s="5">
        <v>44774</v>
      </c>
      <c r="C26" s="12">
        <v>91.3</v>
      </c>
      <c r="D26" s="12">
        <v>7.6</v>
      </c>
      <c r="E26" s="10">
        <f t="shared" si="0"/>
        <v>7.6650943396226356</v>
      </c>
      <c r="F26" s="10">
        <f t="shared" si="1"/>
        <v>6.5094339622635999E-2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1" customHeight="1" x14ac:dyDescent="0.25">
      <c r="A27" s="1"/>
      <c r="B27" s="5">
        <v>44805</v>
      </c>
      <c r="C27" s="12">
        <v>91.4</v>
      </c>
      <c r="D27" s="12">
        <v>7.5</v>
      </c>
      <c r="E27" s="10">
        <f t="shared" si="0"/>
        <v>7.5294117647058956</v>
      </c>
      <c r="F27" s="10">
        <f t="shared" si="1"/>
        <v>2.9411764705895571E-2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1" customHeight="1" x14ac:dyDescent="0.25">
      <c r="A28" s="1"/>
      <c r="B28" s="5">
        <v>44835</v>
      </c>
      <c r="C28" s="12">
        <v>91.7</v>
      </c>
      <c r="D28" s="12">
        <v>7.6</v>
      </c>
      <c r="E28" s="10">
        <f t="shared" si="0"/>
        <v>7.5029308323564026</v>
      </c>
      <c r="F28" s="10">
        <f t="shared" si="1"/>
        <v>-9.7069167643597076E-2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1" customHeight="1" x14ac:dyDescent="0.25">
      <c r="A29" s="1"/>
      <c r="B29" s="5">
        <v>44866</v>
      </c>
      <c r="C29" s="12">
        <v>92</v>
      </c>
      <c r="D29" s="12">
        <v>7.4</v>
      </c>
      <c r="E29" s="10">
        <f t="shared" si="0"/>
        <v>7.4766355140186924</v>
      </c>
      <c r="F29" s="10">
        <f t="shared" si="1"/>
        <v>7.6635514018692064E-2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1" customHeight="1" x14ac:dyDescent="0.25">
      <c r="A30" s="1"/>
      <c r="B30" s="5">
        <v>44896</v>
      </c>
      <c r="C30" s="12">
        <v>92.3</v>
      </c>
      <c r="D30" s="12">
        <v>7.2</v>
      </c>
      <c r="E30" s="10">
        <f t="shared" si="0"/>
        <v>7.2009291521486718</v>
      </c>
      <c r="F30" s="10">
        <f t="shared" si="1"/>
        <v>9.2915214867161922E-4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1" customHeight="1" x14ac:dyDescent="0.25">
      <c r="A31" s="1"/>
      <c r="B31" s="5">
        <v>44927</v>
      </c>
      <c r="C31" s="12">
        <v>92.2</v>
      </c>
      <c r="D31" s="12">
        <v>6.9</v>
      </c>
      <c r="E31" s="10">
        <f t="shared" si="0"/>
        <v>6.8366164542294383</v>
      </c>
      <c r="F31" s="10">
        <f t="shared" si="1"/>
        <v>-6.3383545770562044E-2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1" customHeight="1" x14ac:dyDescent="0.25">
      <c r="A32" s="1"/>
      <c r="B32" s="5">
        <v>44958</v>
      </c>
      <c r="C32" s="12">
        <v>92.9</v>
      </c>
      <c r="D32" s="12">
        <v>7</v>
      </c>
      <c r="E32" s="10">
        <f t="shared" si="0"/>
        <v>7.0276497695852536</v>
      </c>
      <c r="F32" s="10">
        <f t="shared" si="1"/>
        <v>2.7649769585253559E-2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1" customHeight="1" x14ac:dyDescent="0.25">
      <c r="A33" s="1"/>
      <c r="B33" s="5">
        <v>44986</v>
      </c>
      <c r="C33" s="12">
        <v>93.9</v>
      </c>
      <c r="D33" s="12">
        <v>7.1</v>
      </c>
      <c r="E33" s="10">
        <f t="shared" si="0"/>
        <v>7.0695553021664859</v>
      </c>
      <c r="F33" s="10">
        <f t="shared" si="1"/>
        <v>-3.0444697833513779E-2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1" customHeight="1" x14ac:dyDescent="0.25">
      <c r="A34" s="1"/>
      <c r="B34" s="5">
        <v>45017</v>
      </c>
      <c r="C34" s="12">
        <v>94.2</v>
      </c>
      <c r="D34" s="12">
        <v>6.8</v>
      </c>
      <c r="E34" s="10">
        <f t="shared" si="0"/>
        <v>6.8027210884353817</v>
      </c>
      <c r="F34" s="10">
        <f t="shared" si="1"/>
        <v>2.7210884353818798E-3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1" customHeight="1" x14ac:dyDescent="0.25">
      <c r="A35" s="1"/>
      <c r="B35" s="5">
        <v>45047</v>
      </c>
      <c r="C35" s="12">
        <v>94.4</v>
      </c>
      <c r="D35" s="12">
        <v>6.3</v>
      </c>
      <c r="E35" s="10">
        <f t="shared" si="0"/>
        <v>6.3063063063063085</v>
      </c>
      <c r="F35" s="10">
        <f t="shared" si="1"/>
        <v>6.3063063063086844E-3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1" customHeight="1" x14ac:dyDescent="0.25">
      <c r="A36" s="1"/>
      <c r="B36" s="5">
        <v>45078</v>
      </c>
      <c r="C36" s="12">
        <v>94.6</v>
      </c>
      <c r="D36" s="12">
        <v>5.4</v>
      </c>
      <c r="E36" s="10">
        <f t="shared" si="0"/>
        <v>5.3452115812917533</v>
      </c>
      <c r="F36" s="10">
        <f t="shared" si="1"/>
        <v>-5.4788418708247022E-2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1" customHeight="1" x14ac:dyDescent="0.25">
      <c r="A37" s="1"/>
      <c r="B37" s="5">
        <v>45108</v>
      </c>
      <c r="C37" s="12">
        <v>95.4</v>
      </c>
      <c r="D37" s="12">
        <v>4.7</v>
      </c>
      <c r="E37" s="10">
        <f t="shared" si="0"/>
        <v>4.7200878155872816</v>
      </c>
      <c r="F37" s="10">
        <f t="shared" si="1"/>
        <v>2.0087815587281455E-2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1" customHeight="1" x14ac:dyDescent="0.25">
      <c r="A38" s="1"/>
      <c r="B38" s="5">
        <v>45139</v>
      </c>
      <c r="C38" s="12">
        <v>95.7</v>
      </c>
      <c r="D38" s="12">
        <v>4.8</v>
      </c>
      <c r="E38" s="10">
        <f t="shared" si="0"/>
        <v>4.8192771084337505</v>
      </c>
      <c r="F38" s="10">
        <f t="shared" si="1"/>
        <v>1.9277108433750634E-2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1" customHeight="1" x14ac:dyDescent="0.25">
      <c r="A39" s="1"/>
      <c r="B39" s="5">
        <v>45170</v>
      </c>
      <c r="C39" s="12">
        <v>96.3</v>
      </c>
      <c r="D39" s="12">
        <v>5.4</v>
      </c>
      <c r="E39" s="10">
        <f t="shared" si="0"/>
        <v>5.3610503282275568</v>
      </c>
      <c r="F39" s="10">
        <f t="shared" si="1"/>
        <v>-3.8949671772443573E-2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1" customHeight="1" x14ac:dyDescent="0.25">
      <c r="A40" s="1"/>
      <c r="B40" s="5">
        <v>45200</v>
      </c>
      <c r="C40" s="12">
        <v>97.2</v>
      </c>
      <c r="D40" s="12">
        <v>5.9</v>
      </c>
      <c r="E40" s="10">
        <f t="shared" si="0"/>
        <v>5.9978189749182009</v>
      </c>
      <c r="F40" s="10">
        <f t="shared" si="1"/>
        <v>9.7818974918200574E-2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1" customHeight="1" x14ac:dyDescent="0.25">
      <c r="A41" s="1"/>
      <c r="B41" s="5">
        <v>45231</v>
      </c>
      <c r="C41" s="12">
        <v>97.1</v>
      </c>
      <c r="D41" s="12">
        <v>5.5</v>
      </c>
      <c r="E41" s="10">
        <f t="shared" si="0"/>
        <v>5.543478260869561</v>
      </c>
      <c r="F41" s="10">
        <f t="shared" si="1"/>
        <v>4.347826086956097E-2</v>
      </c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1" customHeight="1" x14ac:dyDescent="0.25">
      <c r="A42" s="1"/>
      <c r="B42" s="5">
        <v>45261</v>
      </c>
      <c r="C42" s="12">
        <v>97.1</v>
      </c>
      <c r="D42" s="12">
        <v>5.0999999999999996</v>
      </c>
      <c r="E42" s="10">
        <f t="shared" si="0"/>
        <v>5.2004333694474436</v>
      </c>
      <c r="F42" s="10">
        <f t="shared" si="1"/>
        <v>0.10043336944744397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1" customHeight="1" x14ac:dyDescent="0.25">
      <c r="A43" s="1"/>
      <c r="B43" s="5">
        <v>45292</v>
      </c>
      <c r="C43" s="12">
        <v>97.2</v>
      </c>
      <c r="D43" s="12">
        <v>5.3</v>
      </c>
      <c r="E43" s="10">
        <f t="shared" si="0"/>
        <v>5.4229934924078016</v>
      </c>
      <c r="F43" s="10">
        <f t="shared" si="1"/>
        <v>0.12299349240780177</v>
      </c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1" customHeight="1" x14ac:dyDescent="0.25">
      <c r="A44" s="1"/>
      <c r="B44" s="5">
        <v>45323</v>
      </c>
      <c r="C44" s="12">
        <v>98.1</v>
      </c>
      <c r="D44" s="12">
        <v>5.6</v>
      </c>
      <c r="E44" s="10">
        <f t="shared" si="0"/>
        <v>5.5974165769644646</v>
      </c>
      <c r="F44" s="10">
        <f t="shared" si="1"/>
        <v>-2.5834230355350485E-3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1" customHeight="1" x14ac:dyDescent="0.25">
      <c r="A45" s="1"/>
      <c r="B45" s="5">
        <v>45352</v>
      </c>
      <c r="C45" s="12">
        <v>98.9</v>
      </c>
      <c r="D45" s="12">
        <v>5.3</v>
      </c>
      <c r="E45" s="10">
        <f t="shared" si="0"/>
        <v>5.3248136315229067</v>
      </c>
      <c r="F45" s="10">
        <f t="shared" si="1"/>
        <v>2.4813631522906832E-2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1" customHeight="1" x14ac:dyDescent="0.25">
      <c r="A46" s="1"/>
      <c r="B46" s="5">
        <v>45383</v>
      </c>
      <c r="C46" s="12">
        <v>99.1</v>
      </c>
      <c r="D46" s="12">
        <v>5.2</v>
      </c>
      <c r="E46" s="10">
        <f t="shared" si="0"/>
        <v>5.2016985138004124</v>
      </c>
      <c r="F46" s="10">
        <f t="shared" si="1"/>
        <v>1.6985138004121936E-3</v>
      </c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1" customHeight="1" x14ac:dyDescent="0.25">
      <c r="A47" s="1"/>
      <c r="B47" s="5">
        <v>45413</v>
      </c>
      <c r="C47" s="12">
        <v>99.3</v>
      </c>
      <c r="D47" s="12">
        <v>5.2</v>
      </c>
      <c r="E47" s="10">
        <f t="shared" si="0"/>
        <v>5.1906779661016866</v>
      </c>
      <c r="F47" s="10">
        <f t="shared" si="1"/>
        <v>-9.322033898313542E-3</v>
      </c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1" customHeight="1" x14ac:dyDescent="0.25">
      <c r="A48" s="1"/>
      <c r="B48" s="5">
        <v>45444</v>
      </c>
      <c r="C48" s="12">
        <v>99.4</v>
      </c>
      <c r="D48" s="12">
        <v>5.0999999999999996</v>
      </c>
      <c r="E48" s="10">
        <f t="shared" si="0"/>
        <v>5.0739957716702033</v>
      </c>
      <c r="F48" s="10">
        <f t="shared" si="1"/>
        <v>-2.6004228329796319E-2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1" customHeight="1" x14ac:dyDescent="0.25">
      <c r="A49" s="1"/>
      <c r="B49" s="5">
        <v>45474</v>
      </c>
      <c r="C49" s="12">
        <v>99.8</v>
      </c>
      <c r="D49" s="12">
        <v>4.5999999999999996</v>
      </c>
      <c r="E49" s="10">
        <f t="shared" si="0"/>
        <v>4.6121593291404528</v>
      </c>
      <c r="F49" s="10">
        <f t="shared" si="1"/>
        <v>1.2159329140453146E-2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1" customHeight="1" x14ac:dyDescent="0.25">
      <c r="A50" s="1"/>
      <c r="B50" s="5">
        <v>45505</v>
      </c>
      <c r="C50" s="12">
        <v>99.9</v>
      </c>
      <c r="D50" s="12">
        <v>4.4000000000000004</v>
      </c>
      <c r="E50" s="10">
        <f t="shared" si="0"/>
        <v>4.3887147335423204</v>
      </c>
      <c r="F50" s="10">
        <f t="shared" si="1"/>
        <v>-1.128526645767991E-2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1" customHeight="1" x14ac:dyDescent="0.25">
      <c r="A51" s="1"/>
      <c r="B51" s="5">
        <v>45536</v>
      </c>
      <c r="C51" s="12">
        <v>100</v>
      </c>
      <c r="D51" s="12">
        <v>3.8</v>
      </c>
      <c r="E51" s="10">
        <f t="shared" si="0"/>
        <v>3.8421599169262688</v>
      </c>
      <c r="F51" s="10">
        <f t="shared" si="1"/>
        <v>4.215991692626897E-2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1" customHeight="1" x14ac:dyDescent="0.25">
      <c r="A52" s="1"/>
      <c r="B52" s="5">
        <v>45566</v>
      </c>
      <c r="C52" s="12">
        <v>99.9</v>
      </c>
      <c r="D52" s="12">
        <v>2.8</v>
      </c>
      <c r="E52" s="10">
        <f t="shared" si="0"/>
        <v>2.7777777777777901</v>
      </c>
      <c r="F52" s="10">
        <f t="shared" si="1"/>
        <v>-2.2222222222209709E-2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1" customHeight="1" x14ac:dyDescent="0.25">
      <c r="A53" s="1"/>
      <c r="B53" s="5">
        <v>45597</v>
      </c>
      <c r="C53" s="12">
        <v>99.9</v>
      </c>
      <c r="D53" s="12">
        <v>2.9</v>
      </c>
      <c r="E53" s="10">
        <f t="shared" si="0"/>
        <v>2.8836251287332804</v>
      </c>
      <c r="F53" s="10">
        <f t="shared" si="1"/>
        <v>-1.6374871266719548E-2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1" customHeight="1" x14ac:dyDescent="0.25">
      <c r="A54" s="1"/>
      <c r="B54" s="5">
        <v>45627</v>
      </c>
      <c r="C54" s="12">
        <v>100</v>
      </c>
      <c r="D54" s="12">
        <v>3</v>
      </c>
      <c r="E54" s="10">
        <f t="shared" si="0"/>
        <v>2.9866117404737436</v>
      </c>
      <c r="F54" s="10">
        <f t="shared" si="1"/>
        <v>-1.3388259526256441E-2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1" customHeight="1" x14ac:dyDescent="0.25">
      <c r="A55" s="1"/>
      <c r="B55" s="5">
        <v>45658</v>
      </c>
      <c r="C55" s="12">
        <v>100.3</v>
      </c>
      <c r="D55" s="12">
        <v>3.2</v>
      </c>
      <c r="E55" s="10">
        <f t="shared" si="0"/>
        <v>3.1893004115226331</v>
      </c>
      <c r="F55" s="10">
        <f t="shared" si="1"/>
        <v>-1.0699588477367072E-2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1" customHeight="1" x14ac:dyDescent="0.25">
      <c r="A56" s="1"/>
      <c r="B56" s="5">
        <v>45689</v>
      </c>
      <c r="C56" s="12">
        <v>101.2</v>
      </c>
      <c r="D56" s="12">
        <v>3.2</v>
      </c>
      <c r="E56" s="10">
        <f t="shared" si="0"/>
        <v>3.1600407747196746</v>
      </c>
      <c r="F56" s="10">
        <f t="shared" si="1"/>
        <v>-3.9959225280325583E-2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1" customHeight="1" x14ac:dyDescent="0.25">
      <c r="A57" s="1"/>
      <c r="B57" s="5">
        <v>45717</v>
      </c>
      <c r="C57" s="12">
        <v>101.6</v>
      </c>
      <c r="D57" s="12">
        <v>2.7</v>
      </c>
      <c r="E57" s="10">
        <f t="shared" si="0"/>
        <v>2.7300303336703635</v>
      </c>
      <c r="F57" s="10">
        <f t="shared" si="1"/>
        <v>3.0030333670363341E-2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1" customHeight="1" x14ac:dyDescent="0.25">
      <c r="A58" s="1"/>
      <c r="B58" s="5">
        <v>45748</v>
      </c>
      <c r="C58" s="12">
        <v>101.9</v>
      </c>
      <c r="D58" s="12">
        <v>2.8</v>
      </c>
      <c r="E58" s="10">
        <f t="shared" si="0"/>
        <v>2.8254288597376442</v>
      </c>
      <c r="F58" s="10">
        <f t="shared" si="1"/>
        <v>2.5428859737644416E-2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1" customHeight="1" x14ac:dyDescent="0.25">
      <c r="A59" s="1"/>
      <c r="B59" s="5">
        <v>45778</v>
      </c>
      <c r="C59" s="12">
        <v>102.1</v>
      </c>
      <c r="D59" s="12">
        <v>2.8</v>
      </c>
      <c r="E59" s="10">
        <f t="shared" si="0"/>
        <v>2.8197381671701827</v>
      </c>
      <c r="F59" s="10">
        <f t="shared" si="1"/>
        <v>1.9738167170182841E-2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1" customHeight="1" x14ac:dyDescent="0.25">
      <c r="A60" s="1"/>
      <c r="B60" s="5">
        <v>45809</v>
      </c>
      <c r="C60" s="12">
        <v>102.4</v>
      </c>
      <c r="D60" s="12">
        <v>3</v>
      </c>
      <c r="E60" s="10">
        <f t="shared" si="0"/>
        <v>3.0181086519114775</v>
      </c>
      <c r="F60" s="10">
        <f t="shared" si="1"/>
        <v>1.810865191147748E-2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1" customHeight="1" x14ac:dyDescent="0.25">
      <c r="A61" s="1"/>
      <c r="B61" s="5">
        <v>45839</v>
      </c>
      <c r="C61" s="12">
        <v>103.3</v>
      </c>
      <c r="D61" s="12">
        <v>3.5</v>
      </c>
      <c r="E61" s="10">
        <f t="shared" si="0"/>
        <v>3.5070140280561102</v>
      </c>
      <c r="F61" s="10">
        <f t="shared" si="1"/>
        <v>7.0140280561101775E-3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1" customHeight="1" x14ac:dyDescent="0.25">
      <c r="A62" s="1"/>
      <c r="B62" s="5">
        <v>45870</v>
      </c>
      <c r="C62" s="12">
        <v>103.2</v>
      </c>
      <c r="D62" s="12">
        <v>3.3</v>
      </c>
      <c r="E62" s="10">
        <f t="shared" si="0"/>
        <v>3.3033033033033066</v>
      </c>
      <c r="F62" s="10">
        <f t="shared" si="1"/>
        <v>3.3033033033067483E-3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1" customHeight="1" x14ac:dyDescent="0.25">
      <c r="A63" s="1"/>
      <c r="B63" s="5">
        <v>45901</v>
      </c>
      <c r="C63" s="12">
        <v>103.4</v>
      </c>
      <c r="D63" s="12">
        <v>3.4</v>
      </c>
      <c r="E63" s="10">
        <f t="shared" si="0"/>
        <v>3.400000000000003</v>
      </c>
      <c r="F63" s="10">
        <f t="shared" si="1"/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1" customHeight="1" x14ac:dyDescent="0.25">
      <c r="A64" s="1"/>
      <c r="B64" s="5">
        <v>45931</v>
      </c>
      <c r="C64" s="12">
        <v>103.5</v>
      </c>
      <c r="D64" s="12">
        <v>3.6</v>
      </c>
      <c r="E64" s="10">
        <f t="shared" si="0"/>
        <v>3.603603603603589</v>
      </c>
      <c r="F64" s="10">
        <f t="shared" si="1"/>
        <v>3.6036036035889119E-3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1" customHeight="1" x14ac:dyDescent="0.25">
      <c r="A65" s="1"/>
      <c r="B65" s="5">
        <v>45962</v>
      </c>
      <c r="C65" s="12">
        <v>103.4</v>
      </c>
      <c r="D65" s="12">
        <v>3.5</v>
      </c>
      <c r="E65" s="10">
        <f t="shared" si="0"/>
        <v>3.5035035035035023</v>
      </c>
      <c r="F65" s="10">
        <f t="shared" si="1"/>
        <v>3.5035035035022588E-3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1" customHeight="1" x14ac:dyDescent="0.25">
      <c r="A66" s="1"/>
      <c r="B66" s="5">
        <v>45992</v>
      </c>
      <c r="C66" s="12">
        <v>103.6</v>
      </c>
      <c r="D66" s="12">
        <v>3.6</v>
      </c>
      <c r="E66" s="10">
        <f t="shared" si="0"/>
        <v>3.6000000000000032</v>
      </c>
      <c r="F66" s="10">
        <f t="shared" si="1"/>
        <v>0</v>
      </c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Forecast</vt:lpstr>
      <vt:lpstr>Model Comparison</vt:lpstr>
      <vt:lpstr>Historical 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Seekoei</cp:lastModifiedBy>
  <dcterms:modified xsi:type="dcterms:W3CDTF">2026-10-06T12:34:58Z</dcterms:modified>
</cp:coreProperties>
</file>